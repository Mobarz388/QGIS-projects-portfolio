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CAE2C63-4C37-4F63-8A54-3A43E3BB37E1}" xr6:coauthVersionLast="36" xr6:coauthVersionMax="36" xr10:uidLastSave="{00000000-0000-0000-0000-000000000000}"/>
  <bookViews>
    <workbookView xWindow="-120" yWindow="-120" windowWidth="20730" windowHeight="11160" xr2:uid="{8125E084-4D1B-4C92-8CA0-F99FF68E79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I33" i="1" l="1"/>
  <c r="I35" i="1" s="1"/>
  <c r="I28" i="1"/>
  <c r="I26" i="1"/>
  <c r="I23" i="1"/>
  <c r="I24" i="1"/>
  <c r="I25" i="1"/>
  <c r="I22" i="1"/>
  <c r="H22" i="1" a="1"/>
  <c r="H22" i="1" s="1"/>
  <c r="H26" i="1" l="1"/>
  <c r="H25" i="1"/>
  <c r="H24" i="1"/>
  <c r="H23" i="1"/>
  <c r="B8" i="1" l="1"/>
  <c r="B12" i="1" s="1"/>
  <c r="F8" i="1" l="1"/>
  <c r="F13" i="1" s="1"/>
  <c r="E8" i="1"/>
  <c r="E16" i="1" s="1"/>
  <c r="C8" i="1"/>
  <c r="C16" i="1" s="1"/>
  <c r="D8" i="1"/>
  <c r="D14" i="1" s="1"/>
  <c r="E14" i="1" l="1"/>
  <c r="E15" i="1"/>
  <c r="E12" i="1"/>
  <c r="E13" i="1"/>
  <c r="F12" i="1"/>
  <c r="G12" i="1" s="1"/>
  <c r="F16" i="1"/>
  <c r="F15" i="1"/>
  <c r="F14" i="1"/>
  <c r="D13" i="1"/>
  <c r="D12" i="1"/>
  <c r="D15" i="1"/>
  <c r="D16" i="1"/>
  <c r="C13" i="1"/>
  <c r="C12" i="1"/>
  <c r="C14" i="1"/>
  <c r="C15" i="1"/>
  <c r="B16" i="1"/>
  <c r="B15" i="1"/>
  <c r="B13" i="1"/>
  <c r="B14" i="1"/>
  <c r="G16" i="1" l="1"/>
  <c r="G15" i="1"/>
  <c r="G13" i="1"/>
  <c r="G14" i="1"/>
  <c r="G18" i="1" l="1"/>
</calcChain>
</file>

<file path=xl/sharedStrings.xml><?xml version="1.0" encoding="utf-8"?>
<sst xmlns="http://schemas.openxmlformats.org/spreadsheetml/2006/main" count="45" uniqueCount="19">
  <si>
    <t>Parameter</t>
  </si>
  <si>
    <t>Slope</t>
  </si>
  <si>
    <t>SUM</t>
  </si>
  <si>
    <t>Normalized</t>
  </si>
  <si>
    <t>Weights</t>
  </si>
  <si>
    <t>Wind speed</t>
  </si>
  <si>
    <t>Proximity to transmission lines</t>
  </si>
  <si>
    <t>Distance from nature protection area</t>
  </si>
  <si>
    <t>slope</t>
  </si>
  <si>
    <t>Proximity to population centers</t>
  </si>
  <si>
    <t>CI</t>
  </si>
  <si>
    <t>n - 1</t>
  </si>
  <si>
    <t>RI</t>
  </si>
  <si>
    <t>CR</t>
  </si>
  <si>
    <t>There is consistency of matrix as CR &lt; 0.1</t>
  </si>
  <si>
    <t>Eigen vectors</t>
  </si>
  <si>
    <t>λ - Eigenvalues (Ei) values</t>
  </si>
  <si>
    <t xml:space="preserve">λmax </t>
  </si>
  <si>
    <t xml:space="preserve">λmax  - 1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</si>
</sst>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DBCD-05BC-4FE8-A1A3-7CE3266DA634}">
  <dimension ref="A1:J39"/>
  <sheetViews>
    <sheetView tabSelected="1" workbookViewId="0">
      <selection activeCell="I37" sqref="I37"/>
    </sheetView>
  </sheetViews>
  <sheetFormatPr defaultRowHeight="15" x14ac:dyDescent="0.25"/>
  <cols>
    <col min="1" max="1" width="47.140625" customWidth="1"/>
    <col min="2" max="2" width="17" customWidth="1"/>
    <col min="3" max="3" width="23.85546875" customWidth="1"/>
    <col min="4" max="4" width="47.42578125" customWidth="1"/>
    <col min="5" max="5" width="40.42578125" customWidth="1"/>
    <col min="6" max="6" width="41.85546875" customWidth="1"/>
    <col min="7" max="7" width="42.140625" customWidth="1"/>
    <col min="8" max="8" width="28.140625" customWidth="1"/>
    <col min="9" max="9" width="36.85546875" customWidth="1"/>
    <col min="10" max="10" width="52.42578125" bestFit="1" customWidth="1"/>
  </cols>
  <sheetData>
    <row r="1" spans="1:7" ht="21" x14ac:dyDescent="0.35">
      <c r="A1" s="3" t="s">
        <v>0</v>
      </c>
      <c r="B1" s="3" t="s">
        <v>5</v>
      </c>
      <c r="C1" s="3" t="s">
        <v>1</v>
      </c>
      <c r="D1" s="3" t="s">
        <v>7</v>
      </c>
      <c r="E1" s="3" t="s">
        <v>6</v>
      </c>
      <c r="F1" s="2" t="s">
        <v>9</v>
      </c>
    </row>
    <row r="2" spans="1:7" ht="21" x14ac:dyDescent="0.35">
      <c r="A2" s="3" t="s">
        <v>5</v>
      </c>
      <c r="B2" s="5">
        <v>1</v>
      </c>
      <c r="C2" s="5">
        <v>4</v>
      </c>
      <c r="D2" s="5">
        <v>4</v>
      </c>
      <c r="E2" s="5">
        <v>5</v>
      </c>
      <c r="F2" s="5">
        <v>7</v>
      </c>
    </row>
    <row r="3" spans="1:7" ht="21" x14ac:dyDescent="0.35">
      <c r="A3" s="3" t="s">
        <v>8</v>
      </c>
      <c r="B3" s="5">
        <v>0.25</v>
      </c>
      <c r="C3" s="5">
        <v>1</v>
      </c>
      <c r="D3" s="5">
        <v>0.5</v>
      </c>
      <c r="E3" s="5">
        <v>3</v>
      </c>
      <c r="F3" s="5">
        <v>7</v>
      </c>
    </row>
    <row r="4" spans="1:7" ht="21" x14ac:dyDescent="0.35">
      <c r="A4" s="3" t="s">
        <v>7</v>
      </c>
      <c r="B4" s="5">
        <v>0.25</v>
      </c>
      <c r="C4" s="5">
        <v>2</v>
      </c>
      <c r="D4" s="5">
        <v>1</v>
      </c>
      <c r="E4" s="5">
        <v>3</v>
      </c>
      <c r="F4" s="5">
        <v>5</v>
      </c>
    </row>
    <row r="5" spans="1:7" ht="21" x14ac:dyDescent="0.35">
      <c r="A5" s="3" t="s">
        <v>6</v>
      </c>
      <c r="B5" s="5">
        <v>0.2</v>
      </c>
      <c r="C5" s="5">
        <v>0.33</v>
      </c>
      <c r="D5" s="5">
        <v>0.33</v>
      </c>
      <c r="E5" s="5">
        <v>1</v>
      </c>
      <c r="F5" s="5">
        <v>5</v>
      </c>
    </row>
    <row r="6" spans="1:7" ht="21" x14ac:dyDescent="0.35">
      <c r="A6" s="3" t="s">
        <v>9</v>
      </c>
      <c r="B6" s="5">
        <v>0.14000000000000001</v>
      </c>
      <c r="C6" s="5">
        <v>0.14000000000000001</v>
      </c>
      <c r="D6" s="5">
        <v>0.2</v>
      </c>
      <c r="E6" s="5">
        <v>0.2</v>
      </c>
      <c r="F6" s="5">
        <v>1</v>
      </c>
    </row>
    <row r="7" spans="1:7" ht="21" x14ac:dyDescent="0.35">
      <c r="A7" s="3"/>
      <c r="B7" s="6"/>
      <c r="C7" s="6"/>
      <c r="D7" s="6"/>
      <c r="E7" s="6"/>
      <c r="F7" s="6"/>
    </row>
    <row r="8" spans="1:7" ht="20.25" x14ac:dyDescent="0.3">
      <c r="A8" s="1" t="s">
        <v>2</v>
      </c>
      <c r="B8" s="5">
        <f xml:space="preserve"> SUM(B2:B6)</f>
        <v>1.8399999999999999</v>
      </c>
      <c r="C8" s="5">
        <f xml:space="preserve"> SUM(C2:C6)</f>
        <v>7.47</v>
      </c>
      <c r="D8" s="5">
        <f xml:space="preserve"> SUM(D2:D6)</f>
        <v>6.03</v>
      </c>
      <c r="E8" s="5">
        <f xml:space="preserve"> SUM(E2:E6)</f>
        <v>12.2</v>
      </c>
      <c r="F8" s="5">
        <f xml:space="preserve"> SUM(F2:F6)</f>
        <v>25</v>
      </c>
    </row>
    <row r="11" spans="1:7" ht="21" x14ac:dyDescent="0.35">
      <c r="A11" s="1" t="s">
        <v>3</v>
      </c>
      <c r="B11" s="3" t="s">
        <v>5</v>
      </c>
      <c r="C11" s="3" t="s">
        <v>1</v>
      </c>
      <c r="D11" s="3" t="s">
        <v>7</v>
      </c>
      <c r="E11" s="3" t="s">
        <v>6</v>
      </c>
      <c r="F11" s="3" t="s">
        <v>9</v>
      </c>
      <c r="G11" s="1" t="s">
        <v>4</v>
      </c>
    </row>
    <row r="12" spans="1:7" ht="21" x14ac:dyDescent="0.35">
      <c r="A12" s="3" t="s">
        <v>5</v>
      </c>
      <c r="B12" s="3">
        <f xml:space="preserve"> B2/$B$8</f>
        <v>0.5434782608695653</v>
      </c>
      <c r="C12" s="3">
        <f xml:space="preserve"> C2/$C$8</f>
        <v>0.53547523427041499</v>
      </c>
      <c r="D12" s="3">
        <f xml:space="preserve"> D2/$D$8</f>
        <v>0.66334991708126034</v>
      </c>
      <c r="E12" s="3">
        <f xml:space="preserve"> E2/$E$8</f>
        <v>0.4098360655737705</v>
      </c>
      <c r="F12" s="3">
        <f xml:space="preserve"> F2/$F$8</f>
        <v>0.28000000000000003</v>
      </c>
      <c r="G12" s="1">
        <f xml:space="preserve"> AVERAGE(B12:F12)</f>
        <v>0.48642789555900234</v>
      </c>
    </row>
    <row r="13" spans="1:7" ht="21" x14ac:dyDescent="0.35">
      <c r="A13" s="3" t="s">
        <v>1</v>
      </c>
      <c r="B13" s="3">
        <f xml:space="preserve"> B3/$B$8</f>
        <v>0.13586956521739132</v>
      </c>
      <c r="C13" s="3">
        <f xml:space="preserve"> C3/$C$8</f>
        <v>0.13386880856760375</v>
      </c>
      <c r="D13" s="3">
        <f xml:space="preserve"> D3/$D$8</f>
        <v>8.2918739635157543E-2</v>
      </c>
      <c r="E13" s="3">
        <f xml:space="preserve"> E3/$E$8</f>
        <v>0.24590163934426232</v>
      </c>
      <c r="F13" s="3">
        <f xml:space="preserve"> F3/$F$8</f>
        <v>0.28000000000000003</v>
      </c>
      <c r="G13" s="1">
        <f xml:space="preserve"> AVERAGE(B13:F13)</f>
        <v>0.17571175055288299</v>
      </c>
    </row>
    <row r="14" spans="1:7" ht="21" x14ac:dyDescent="0.35">
      <c r="A14" s="3" t="s">
        <v>7</v>
      </c>
      <c r="B14" s="3">
        <f xml:space="preserve"> B4/$B$8</f>
        <v>0.13586956521739132</v>
      </c>
      <c r="C14" s="3">
        <f xml:space="preserve"> C4/$C$8</f>
        <v>0.2677376171352075</v>
      </c>
      <c r="D14" s="3">
        <f xml:space="preserve"> D4/$D$8</f>
        <v>0.16583747927031509</v>
      </c>
      <c r="E14" s="3">
        <f xml:space="preserve"> E4/$E$8</f>
        <v>0.24590163934426232</v>
      </c>
      <c r="F14" s="7">
        <f t="shared" ref="F14:F16" si="0" xml:space="preserve"> F4/$F$8</f>
        <v>0.2</v>
      </c>
      <c r="G14" s="1">
        <f xml:space="preserve"> AVERAGE(B14:F14)</f>
        <v>0.20306926019343527</v>
      </c>
    </row>
    <row r="15" spans="1:7" ht="21" x14ac:dyDescent="0.35">
      <c r="A15" s="3" t="s">
        <v>6</v>
      </c>
      <c r="B15" s="3">
        <f xml:space="preserve"> B5/$B$8</f>
        <v>0.10869565217391305</v>
      </c>
      <c r="C15" s="3">
        <f xml:space="preserve"> C5/$C$8</f>
        <v>4.4176706827309238E-2</v>
      </c>
      <c r="D15" s="3">
        <f xml:space="preserve"> D5/$D$8</f>
        <v>5.4726368159203981E-2</v>
      </c>
      <c r="E15" s="3">
        <f xml:space="preserve"> E5/$E$8</f>
        <v>8.1967213114754106E-2</v>
      </c>
      <c r="F15" s="7">
        <f t="shared" si="0"/>
        <v>0.2</v>
      </c>
      <c r="G15" s="1">
        <f xml:space="preserve"> AVERAGE(B15:F15)</f>
        <v>9.7913188055036071E-2</v>
      </c>
    </row>
    <row r="16" spans="1:7" ht="21" x14ac:dyDescent="0.35">
      <c r="A16" s="3" t="s">
        <v>9</v>
      </c>
      <c r="B16" s="3">
        <f xml:space="preserve"> B6/$B$8</f>
        <v>7.6086956521739149E-2</v>
      </c>
      <c r="C16" s="3">
        <f xml:space="preserve"> C6/$C$8</f>
        <v>1.8741633199464529E-2</v>
      </c>
      <c r="D16" s="3">
        <f xml:space="preserve"> D6/$D$8</f>
        <v>3.316749585406302E-2</v>
      </c>
      <c r="E16" s="3">
        <f xml:space="preserve"> E6/$E$8</f>
        <v>1.6393442622950821E-2</v>
      </c>
      <c r="F16" s="3">
        <f t="shared" si="0"/>
        <v>0.04</v>
      </c>
      <c r="G16" s="1">
        <f xml:space="preserve"> AVERAGE(B16:F16)</f>
        <v>3.6877905639643507E-2</v>
      </c>
    </row>
    <row r="18" spans="1:9" ht="20.25" x14ac:dyDescent="0.3">
      <c r="G18" s="5">
        <f>SUM(G12:G16)</f>
        <v>1.0000000000000002</v>
      </c>
    </row>
    <row r="19" spans="1:9" ht="20.25" x14ac:dyDescent="0.3">
      <c r="I19" s="1"/>
    </row>
    <row r="20" spans="1:9" ht="21" x14ac:dyDescent="0.35">
      <c r="A20" s="2"/>
      <c r="B20" s="1"/>
      <c r="C20" s="1"/>
      <c r="D20" s="1"/>
      <c r="E20" s="1"/>
      <c r="F20" s="1"/>
      <c r="G20" s="3"/>
      <c r="H20" s="4"/>
      <c r="I20" s="1"/>
    </row>
    <row r="21" spans="1:9" ht="21" x14ac:dyDescent="0.35">
      <c r="A21" s="3" t="s">
        <v>0</v>
      </c>
      <c r="B21" s="3" t="s">
        <v>5</v>
      </c>
      <c r="C21" s="3" t="s">
        <v>1</v>
      </c>
      <c r="D21" s="3" t="s">
        <v>7</v>
      </c>
      <c r="E21" s="3" t="s">
        <v>6</v>
      </c>
      <c r="F21" s="2" t="s">
        <v>9</v>
      </c>
      <c r="G21" s="3" t="s">
        <v>4</v>
      </c>
      <c r="H21" s="3" t="s">
        <v>15</v>
      </c>
      <c r="I21" s="1" t="s">
        <v>16</v>
      </c>
    </row>
    <row r="22" spans="1:9" ht="21" x14ac:dyDescent="0.35">
      <c r="A22" s="3" t="s">
        <v>5</v>
      </c>
      <c r="B22" s="5">
        <v>1</v>
      </c>
      <c r="C22" s="5">
        <v>4</v>
      </c>
      <c r="D22" s="5">
        <v>4</v>
      </c>
      <c r="E22" s="5">
        <v>5</v>
      </c>
      <c r="F22" s="5">
        <v>7</v>
      </c>
      <c r="G22" s="3">
        <v>0.48642789555900201</v>
      </c>
      <c r="H22" s="3">
        <f t="array" ref="H22:H26">MMULT(B22:F26,G22:G26)</f>
        <v>2.7492632182969601</v>
      </c>
      <c r="I22" s="1">
        <f xml:space="preserve"> H22/G22</f>
        <v>5.6519439847040678</v>
      </c>
    </row>
    <row r="23" spans="1:9" ht="21" x14ac:dyDescent="0.35">
      <c r="A23" s="3" t="s">
        <v>8</v>
      </c>
      <c r="B23" s="5">
        <v>0.25</v>
      </c>
      <c r="C23" s="5">
        <v>1</v>
      </c>
      <c r="D23" s="5">
        <v>0.5</v>
      </c>
      <c r="E23" s="5">
        <v>3</v>
      </c>
      <c r="F23" s="5">
        <v>7</v>
      </c>
      <c r="G23" s="3">
        <v>0.17571175055288299</v>
      </c>
      <c r="H23" s="3">
        <v>0.95073825818196389</v>
      </c>
      <c r="I23" s="1">
        <f t="shared" ref="I23:I25" si="1" xml:space="preserve"> H23/G23</f>
        <v>5.4107835997901885</v>
      </c>
    </row>
    <row r="24" spans="1:9" ht="21" x14ac:dyDescent="0.35">
      <c r="A24" s="3" t="s">
        <v>7</v>
      </c>
      <c r="B24" s="5">
        <v>0.25</v>
      </c>
      <c r="C24" s="5">
        <v>2</v>
      </c>
      <c r="D24" s="5">
        <v>1</v>
      </c>
      <c r="E24" s="5">
        <v>3</v>
      </c>
      <c r="F24" s="5">
        <v>5</v>
      </c>
      <c r="G24" s="3">
        <v>0.20306926019343527</v>
      </c>
      <c r="H24" s="3">
        <v>1.1542288275522774</v>
      </c>
      <c r="I24" s="1">
        <f t="shared" si="1"/>
        <v>5.6839170362506239</v>
      </c>
    </row>
    <row r="25" spans="1:9" ht="21" x14ac:dyDescent="0.35">
      <c r="A25" s="3" t="s">
        <v>6</v>
      </c>
      <c r="B25" s="5">
        <v>0.2</v>
      </c>
      <c r="C25" s="5">
        <v>0.33</v>
      </c>
      <c r="D25" s="5">
        <v>0.33</v>
      </c>
      <c r="E25" s="5">
        <v>1</v>
      </c>
      <c r="F25" s="5">
        <v>5</v>
      </c>
      <c r="G25" s="3">
        <v>9.7913188055036071E-2</v>
      </c>
      <c r="H25" s="3">
        <v>0.50458602891133908</v>
      </c>
      <c r="I25" s="1">
        <f t="shared" si="1"/>
        <v>5.153402099701994</v>
      </c>
    </row>
    <row r="26" spans="1:9" ht="21" x14ac:dyDescent="0.35">
      <c r="A26" s="3" t="s">
        <v>9</v>
      </c>
      <c r="B26" s="5">
        <v>0.14000000000000001</v>
      </c>
      <c r="C26" s="5">
        <v>0.14000000000000001</v>
      </c>
      <c r="D26" s="5">
        <v>0.2</v>
      </c>
      <c r="E26" s="5">
        <v>0.2</v>
      </c>
      <c r="F26" s="5">
        <v>1</v>
      </c>
      <c r="G26" s="3">
        <v>3.6877905639643507E-2</v>
      </c>
      <c r="H26" s="3">
        <v>0.18977394574500167</v>
      </c>
      <c r="I26" s="1">
        <f xml:space="preserve"> H26/G26</f>
        <v>5.1460065980806657</v>
      </c>
    </row>
    <row r="28" spans="1:9" ht="21" x14ac:dyDescent="0.35">
      <c r="A28" s="2"/>
      <c r="B28" s="2"/>
      <c r="H28" s="3" t="s">
        <v>17</v>
      </c>
      <c r="I28" s="1">
        <f xml:space="preserve"> AVERAGE(I22:I26)</f>
        <v>5.4092106637055082</v>
      </c>
    </row>
    <row r="29" spans="1:9" ht="20.25" x14ac:dyDescent="0.3">
      <c r="I29" s="1"/>
    </row>
    <row r="30" spans="1:9" ht="20.25" x14ac:dyDescent="0.3">
      <c r="I30" s="1"/>
    </row>
    <row r="31" spans="1:9" ht="21" x14ac:dyDescent="0.35">
      <c r="H31" s="8" t="s">
        <v>18</v>
      </c>
      <c r="I31" s="1">
        <f xml:space="preserve"> I28 - 1</f>
        <v>4.4092106637055082</v>
      </c>
    </row>
    <row r="32" spans="1:9" ht="21" x14ac:dyDescent="0.35">
      <c r="H32" s="8" t="s">
        <v>11</v>
      </c>
      <c r="I32" s="1">
        <v>4</v>
      </c>
    </row>
    <row r="33" spans="7:10" ht="21" x14ac:dyDescent="0.35">
      <c r="H33" s="8" t="s">
        <v>10</v>
      </c>
      <c r="I33" s="1">
        <f>I31/I32</f>
        <v>1.102302665926377</v>
      </c>
    </row>
    <row r="34" spans="7:10" ht="21" x14ac:dyDescent="0.35">
      <c r="H34" s="8" t="s">
        <v>12</v>
      </c>
      <c r="I34" s="1">
        <v>1.115</v>
      </c>
    </row>
    <row r="35" spans="7:10" ht="21" x14ac:dyDescent="0.35">
      <c r="H35" s="8" t="s">
        <v>13</v>
      </c>
      <c r="I35" s="3">
        <f xml:space="preserve"> I33/I34</f>
        <v>0.98861225643621264</v>
      </c>
      <c r="J35" s="3" t="s">
        <v>14</v>
      </c>
    </row>
    <row r="36" spans="7:10" ht="20.25" x14ac:dyDescent="0.3">
      <c r="I36" s="1"/>
    </row>
    <row r="37" spans="7:10" x14ac:dyDescent="0.25">
      <c r="I37" s="4"/>
    </row>
    <row r="38" spans="7:10" ht="20.25" x14ac:dyDescent="0.3">
      <c r="G38" s="2"/>
      <c r="H38" s="2"/>
      <c r="I38" s="1"/>
    </row>
    <row r="39" spans="7:10" ht="20.25" x14ac:dyDescent="0.3">
      <c r="G39" s="2"/>
      <c r="H39" s="2"/>
      <c r="I3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Mojtaba Barzehkar</cp:lastModifiedBy>
  <dcterms:created xsi:type="dcterms:W3CDTF">2022-11-28T19:57:39Z</dcterms:created>
  <dcterms:modified xsi:type="dcterms:W3CDTF">2023-12-19T12:51:15Z</dcterms:modified>
</cp:coreProperties>
</file>